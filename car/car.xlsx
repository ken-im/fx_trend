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ken-im\fx_trend\car\"/>
    </mc:Choice>
  </mc:AlternateContent>
  <xr:revisionPtr revIDLastSave="0" documentId="13_ncr:1_{63AA3D88-AE86-4A54-9B8F-ADDFA2382657}"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2" i="1" l="1"/>
  <c r="P32" i="1"/>
  <c r="O32" i="1"/>
  <c r="N32" i="1"/>
  <c r="M32" i="1"/>
  <c r="L32" i="1"/>
  <c r="K32" i="1"/>
  <c r="J32" i="1"/>
  <c r="I32" i="1"/>
  <c r="H32" i="1"/>
  <c r="G32" i="1"/>
  <c r="F32" i="1"/>
  <c r="E32" i="1"/>
  <c r="D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nice</author>
  </authors>
  <commentList>
    <comment ref="N25" authorId="0" shapeId="0" xr:uid="{00000000-0006-0000-0000-000001000000}">
      <text>
        <r>
          <rPr>
            <sz val="10"/>
            <color theme="1"/>
            <rFont val="맑은 고딕"/>
            <family val="2"/>
            <charset val="129"/>
            <scheme val="minor"/>
          </rPr>
          <t>스마트커넥트에 포함</t>
        </r>
      </text>
    </comment>
    <comment ref="P25" authorId="0" shapeId="0" xr:uid="{00000000-0006-0000-0000-000002000000}">
      <text>
        <r>
          <rPr>
            <sz val="10"/>
            <color theme="1"/>
            <rFont val="맑은 고딕"/>
            <family val="2"/>
            <charset val="129"/>
            <scheme val="minor"/>
          </rPr>
          <t>스마트커넥트에 포함</t>
        </r>
      </text>
    </comment>
    <comment ref="N29" authorId="0" shapeId="0" xr:uid="{00000000-0006-0000-0000-000003000000}">
      <text>
        <r>
          <rPr>
            <sz val="10"/>
            <color theme="1"/>
            <rFont val="맑은 고딕"/>
            <family val="2"/>
            <charset val="129"/>
            <scheme val="minor"/>
          </rPr>
          <t>빌트인 캠2 포함</t>
        </r>
      </text>
    </comment>
    <comment ref="P29" authorId="0" shapeId="0" xr:uid="{00000000-0006-0000-0000-000004000000}">
      <text>
        <r>
          <rPr>
            <sz val="10"/>
            <color theme="1"/>
            <rFont val="맑은 고딕"/>
            <family val="2"/>
            <charset val="129"/>
            <scheme val="minor"/>
          </rPr>
          <t>빌트인 캠2 포함</t>
        </r>
      </text>
    </comment>
  </commentList>
</comments>
</file>

<file path=xl/sharedStrings.xml><?xml version="1.0" encoding="utf-8"?>
<sst xmlns="http://schemas.openxmlformats.org/spreadsheetml/2006/main" count="232" uniqueCount="148">
  <si>
    <t>차종</t>
  </si>
  <si>
    <t>스포티지</t>
  </si>
  <si>
    <t>셀토스</t>
  </si>
  <si>
    <t>니로</t>
  </si>
  <si>
    <t>K8</t>
  </si>
  <si>
    <t>제원</t>
  </si>
  <si>
    <t>전장</t>
  </si>
  <si>
    <t>전폭</t>
  </si>
  <si>
    <t>전고</t>
  </si>
  <si>
    <t>축거</t>
  </si>
  <si>
    <t>모델</t>
  </si>
  <si>
    <t>엔진</t>
  </si>
  <si>
    <t>1.6 가솔린 터보 2WD</t>
  </si>
  <si>
    <t>1.6 하이브리드 2WD</t>
  </si>
  <si>
    <t>1.6 가솔린 터보</t>
  </si>
  <si>
    <t>1.6 하이브리드</t>
  </si>
  <si>
    <t>2.5 가솔린</t>
  </si>
  <si>
    <t>1.6 터보 하이브리드</t>
  </si>
  <si>
    <t>배기량</t>
  </si>
  <si>
    <t>최고출력(ps/rpm)</t>
  </si>
  <si>
    <t>180 / 5,500</t>
  </si>
  <si>
    <t>180 / 5,500 (47.7 kW)</t>
  </si>
  <si>
    <t>193 / 6,000</t>
  </si>
  <si>
    <t>105 / 5,700 (32kW)</t>
  </si>
  <si>
    <t>198 / 6,100</t>
  </si>
  <si>
    <t>기본 타이어+빌트인캠</t>
  </si>
  <si>
    <t>공차중량</t>
  </si>
  <si>
    <t>변속기</t>
  </si>
  <si>
    <t>자동 8단</t>
  </si>
  <si>
    <t>자동 6단</t>
  </si>
  <si>
    <t>6DCT</t>
  </si>
  <si>
    <t>등급</t>
  </si>
  <si>
    <t>연비</t>
  </si>
  <si>
    <t>도심</t>
  </si>
  <si>
    <t>고속도로</t>
  </si>
  <si>
    <t>복합</t>
  </si>
  <si>
    <t>트림</t>
  </si>
  <si>
    <t>노블레스</t>
  </si>
  <si>
    <t>시그니처</t>
  </si>
  <si>
    <t>프레스티지</t>
  </si>
  <si>
    <t>선택 옵션</t>
  </si>
  <si>
    <t>전자식 4WD</t>
  </si>
  <si>
    <t>스타일</t>
  </si>
  <si>
    <t>-</t>
  </si>
  <si>
    <t>19인치 휠</t>
  </si>
  <si>
    <t>컴포트</t>
  </si>
  <si>
    <t>기본</t>
  </si>
  <si>
    <t>프리미엄</t>
  </si>
  <si>
    <t>드라이브와이즈</t>
  </si>
  <si>
    <t>빌트인 캠2</t>
  </si>
  <si>
    <t>모니터링</t>
  </si>
  <si>
    <t>헤드업디스플레이</t>
  </si>
  <si>
    <t>프리미엄 사운드</t>
  </si>
  <si>
    <t>스마트커넥트</t>
  </si>
  <si>
    <t>실내V2L</t>
  </si>
  <si>
    <t>파노라마선루트</t>
  </si>
  <si>
    <t>구입 가격 (만원)</t>
  </si>
  <si>
    <t>하이브리드 시그니처 트림 주요기본품목 비교표 (하위 트림 포함)</t>
  </si>
  <si>
    <t>카테고리</t>
  </si>
  <si>
    <t>스포티지
1.6 터보 하이브리드 시그니처
(3,988만)</t>
  </si>
  <si>
    <t>셀토스
1.6 하이브리드 시그니처
(3,520만)</t>
  </si>
  <si>
    <t>니로
1.6 하이브리드 시그니처
(3,515만)</t>
  </si>
  <si>
    <t>파워트레인</t>
  </si>
  <si>
    <t>스마트스트림 터보 하이브리드
스마트스트림 6AT
47.7kW 구동 모터
속도감응형 전동식 파워 스티어링(MDPS)
주행모드 통합제어 시스템</t>
  </si>
  <si>
    <t>스마트스트림 G1.6 하이브리드 엔진
6단 DCT
32kW 구동 모터
속도감응형 전동식 파워스티어링(MDPS)
주행모드 통합제어 시스템
후륜 멀티링크 서스펜션</t>
  </si>
  <si>
    <t>첨단 운전자 보조
(ADAS)</t>
  </si>
  <si>
    <t>전방 충돌방지 보조(차량/보행자/자전거 탑승자/교차로 대향차/정면 대향차)
차로 이탈방지 보조
운전자 주의 경고(전방 차량 출발 알림 기능 포함)
하이빔 보조
스마트 크루즈 컨트롤(정차&amp;재출발)
차로 유지 보조 2
스티어링 휠 그립 감지
스티어링 휠 진동 경고
지능형 속도 제한 보조
내비게이션 기반 스마트 크루즈 컨트롤(고속도로/자동차 전용도로 內 안전구간/곡선로) [+노블레스]
고속도로 주행 보조 [+노블레스]</t>
  </si>
  <si>
    <t>전방 충돌방지 보조(차량/보행자/자전거 탑승자/교차로 대향차/정면 대향차)
차로 이탈방지 보조
운전자 주의 경고(전방 차량 출발 알림 기능 포함)
하이빔 보조
스마트 크루즈 컨트롤(정차&amp;재출발)
차로 유지 보조 2
스티어링 휠 그립 감지
스티어링 휠 진동 경고
지능형 속도 제한 보조
내비게이션 기반 스마트 크루즈 컨트롤(고속도로 內 안전구간/곡선로) [+프레스티지]
고속도로 주행 보조 [+프레스티지]
후측방 충돌방지 보조(전진 출차) [+시그니처]
후방 교차 충돌방지 보조 [+시그니처]
안전 하차 보조 [+시그니처]</t>
  </si>
  <si>
    <t>전방 충돌방지 보조(차량/보행자/자전거 탑승자/교차로 대향차/정면 대향차)
차로 이탈방지 보조
운전자 주의 경고(전방 차량 출발 알림 기능 포함)
하이빔 보조
스마트 크루즈 컨트롤(정차&amp;재출발)
차로 유지 보조 2
스티어링 휠 그립 감지
스티어링 휠 진동 경고
지능형 속도 제한 보조
내비게이션 기반 스마트 크루즈 컨트롤(고속도로/자동차 전용도로 內 안전구간/곡선로) [+프레스티지]
고속도로 주행 보조 [+프레스티지]</t>
  </si>
  <si>
    <t>안전</t>
  </si>
  <si>
    <t>8에어백(운전석/동승석 어드밴스드, 전복 감지 커튼, 1열/2열 사이드)
전/후방 주차 거리 경고
VSM
다중 충돌방지 자동 제동 시스템
경사로 밀림 방지장치
경사로 저속주행장치
개별 타이어 공기압 경보시스템
1열/2열 시트벨트 리마인더
유아용 시트 고정 장치
타이어 임시수리 장치
소화기</t>
  </si>
  <si>
    <t>9에어백(운전석/동승석 어드밴스드, 1열 센터 사이드, 전복감지 커튼, 1열/2열 사이드)
전/후방 주차 거리 경고
VSM
다중 충돌방지 자동 제동 시스템
경사로 밀림방지장치
경사로 저속주행장치
급제동 경보 시스템
개별 타이어 공기압 경보 시스템
1열/2열 시트벨트 리마인더
유아용 시트 고정 장치
타이어 임시수리장치
소화기
전자식 차일드락 [+시그니처]
후진 가이드 램프 [+시그니처]</t>
  </si>
  <si>
    <t>10에어백(운전석/동승석 어드밴스드, 운전석 무릎, 1열 센터 사이드, 전복감지 커튼, 1열/2열 사이드)
전/후방 주차 거리 경고
VSM
다중 충돌방지 자동 제동 시스템
경사로 밀림방지장치
급제동 경보 시스템
개별 타이어 공기압 경보 시스템
1열/2열 시트벨트 리마인더
유아용 시트 고정 장치
타이어 임시수리장치
소화기
측방 주차 거리 경고 [+시그니처]
후방 주차 충돌방지 보조 [+시그니처]</t>
  </si>
  <si>
    <t>외장</t>
  </si>
  <si>
    <t>235/60 R18 컨티넨탈 타이어&amp;전면가공 휠 [+노블레스]
프로젝션 LED 헤드램프 [+시그니처]
프론트/리어 LED 턴시그널램프 [+시그니처]
LED 주간 주행등
LED 리어 콤비네이션램프
LED 보조제동등
LED 포그램프 [+시그니처]
LED 리피터 일체형 아웃사이드 미러(전동접이, 전동조절, 열선)
도어손잡이 조명(프론트)
에어로타입 와이퍼
윈드쉴드/1열 이중접합 차음 글라스
2열 이중접합 차음 글라스 [+노블레스]
샤크핀 안테나
블랙 하이그로시(프론트 범퍼 로워, 리어 범퍼, 도어 사이드 몰딩, 휠아치 몰딩, 테일게이트 가니쉬, 아웃사이드 미러 베이스) [+노블레스]
루프랙 [+노블레스]
다이내믹 웰컴 라이트 [+시그니처]
터치타입 아웃사이드 도어핸들 [+시그니처]</t>
  </si>
  <si>
    <t>215/55 R18 타이어&amp;전면가공 휠 [+프레스티지]
LED 헤드램프
LED 주간 주행등
LED 리어 콤비네이션램프
LED 보조제동등
LED 리피터 일체형 아웃사이드미러(전동접이, 전동조절, 열선)
에어로타입 와이퍼
윈드쉴드 이중접합 차음 글라스
리어스포일러
샤크핀 안테나
블랙하이그로시(라디에이터 그릴, 아웃사이드 미러, 벨트라인 몰딩) [+프레스티지]
실버 프론트/리어 스키드 플레이트 [+프레스티지]
실버 도어 가니쉬 피스 [+프레스티지]
루프랙 [+프레스티지]
오토 플러시 도어핸들 [+시그니처]</t>
  </si>
  <si>
    <t>205/60 R16 타이어&amp;전면가공 휠
LED 헤드램프
LED 주간 주행등
LED 리어 콤비네이션램프
LED 보조제동등
LED 리피터 일체형 아웃사이드미러(전동접이, 전동조절, 열선)
도어손잡이 조명(프론트)
윈드쉴드 이중접합 차음 글라스
리어스포일러
샤크핀 안테나
루프랙 [+프레스티지]
에어로타입 와이퍼 [+시그니처]
1열/2열 이중접합 차음 글라스 [+시그니처]</t>
  </si>
  <si>
    <t>내장</t>
  </si>
  <si>
    <t>블랙/라운지 브라운/네이비 그레이 인테리어 선택 가능 [+시그니처]
파노라믹 커브드 디스플레이 [+노블레스]
슈퍼비전 클러스터(12.3인치 풀사이즈 칼라 TFT LCD) [+노블레스]
가죽 스티어링 휠
LED 실내등(맵램프, 룸램프, 러기지램프)
전자식 룸미러
슬라이딩 선바이저(거울, LED 조명)
앰비언트 라이트 [+시그니처]
우드 그레인 가니쉬(크래쉬패드, 콘솔 어퍼커버, 도어 트림) [+시그니처]
크래쉬패드 리얼 스티치 [+시그니처]
패드 프린트 가니쉬(크래쉬패드, 콘솔 어퍼커버, 도어 트림) [+노블레스]
도어 암레스트 인조가죽 감싸기 [+노블레스]
도어 센터트림 인조가죽 감싸기 [+시그니처]
크롬 인사이드 도어 핸들 [+노블레스]</t>
  </si>
  <si>
    <t>그레이 또는 브라운 인테리어 선택 가능 [+시그니처]
파노라믹 와이드 디스플레이(인포/공조 통합형)
슈퍼비전 클러스터(12.3인치 풀사이즈 칼라 TFT LCD) [+시그니처]
프리미엄 스티어링 휠 [+시그니처]
LED 실내등(맵램프, 룸램프, 러기지램프)
전자식 룸미러 [+프레스티지]
슬라이딩 선바이저(LED 조명) [+프레스티지]
글로브박스 조명
러기지 보드
기아 애드기어(기아 멀티 후크 포함)
소프트 재질(크래쉬패드 가니쉬, 1열 도어 어퍼/센터 트림) [+프레스티지]
1열/2열 도어 암레스트 인조가죽 감싸기 [+프레스티지]</t>
  </si>
  <si>
    <t>차콜/블루 그레이/딥 네이비&amp;브라운 인테리어 선택 가능 [+프레스티지]
슈퍼비전 클러스터(12.3인치 풀사이즈 칼라 TFT LCD) [+시그니처]
파노라믹 커브드 디스플레이 [+시그니처]
인조가죽 스티어링 휠
전자식 룸미러 [+프레스티지]
선바이저 조명 [+프레스티지]
러기지 보드
1열 도어 암레스트 인조가죽 감싸기
2열 도어 암레스트 인조가죽 감싸기 [+시그니처]
패드 프린트 가니쉬(크래쉬패드, 1열 도어 센터트림, 콘솔 어퍼커버) [+시그니처]
크롬 인사이드 도어핸들 [+시그니처]</t>
  </si>
  <si>
    <t>시트</t>
  </si>
  <si>
    <t>프리미엄 인조가죽시트 [+시그니처]
운전석 파워시트 [+노블레스]
동승석 파워시트 [+시그니처]
동승석 워크인 디바이스 [+시그니처]
1열 열선시트
1열 통풍시트 [+노블레스]
2열 열선시트 [+시그니처]
운전석 전동식 허리지지대 [+노블레스]
동승석 전동식 허리지지대 [+시그니처]
2열 6:4 폴딩 시트(리클라이닝)
2열 리모트 폴딩 레버 [+시그니처]
운전석 시트 높이조절장치
1열 시트벨트 높이조절장치
1열 시트백 포켓
1열 시트백 미니포켓 [+시그니처]
옷걸이형 헤드레스트 [+시그니처]</t>
  </si>
  <si>
    <t>스퀘어 패턴 엠보 시트(프리미엄 바이오 인조가죽) [+시그니처]
운전석 파워시트 [+프레스티지]
동승석 파워시트 [+시그니처]
1열 릴렉션 컴포트시트 [+시그니처]
동승석 워크인 디바이스 [+시그니처]
1열 열선시트
1열 통풍시트 [+프레스티지]
운전석 전동식 허리지지대 [+프레스티지]
동승석 전동식 허리지지대 [+시그니처]
2열 6:4 폴딩시트(리클라이닝)
1열/2열 높이조절식 헤드레스트
1열 슬라이딩 헤드레스트
운전석 시트 높이조절장치
1열 시트벨트 높이조절장치
1열 시트백 포켓 [+프레스티지]</t>
  </si>
  <si>
    <t>인조가죽시트 [+프레스티지]
운전석 파워시트 [+프레스티지]
1열 열선시트 [+프레스티지]
1열 통풍시트 [+프레스티지]
운전석 전동식 허리지지대 [+프레스티지]
2열 6:4 폴딩시트(리클라이닝)
1열/2열 높이조절식 헤드레스트
1열 슬라이딩 헤드레스트
운전석 시트 높이조절장치
1열 시트벨트 높이조절장치
1열 시트백 포켓 [+프레스티지]</t>
  </si>
  <si>
    <t>편의</t>
  </si>
  <si>
    <t>버튼시동 스마트키 시스템(원격시동 포함)
전자식 변속 다이얼, 패들 쉬프트
전자식 파킹 브레이크(오토홀드 포함)
후방 모니터, 오토 라이트 컨트롤, 레인센서
후석 승객 알림
열선 스티어링 휠
수동식 틸트&amp;텔레스코픽 스티어링 휠
운전석 세이프티 파워윈도우
동승석/2열 세이프티 파워윈도우 [+노블레스]
독립제어 풀오토 에어컨(운전석/동승석)
고성능 에어컨 필터
공기청정 시스템(미세먼지 센서 포함)
오토디포그
2열 에어벤트
애프터 블로우
C타입 USB 단자(충전용, 1열 1개/2열 2개)
C타입 USB 단자(충전용, 1열 시트백 2개) [+노블레스]
파워아웃렛
러기지 파워아웃렛 [+노블레스]
PTC 보조 히터
하이패스 자동결제 시스템(e hi-pass 기능 포함) [+노블레스]
스마트폰 무선충전 시스템 [+노블레스]
스마트 파워테일게이트 [+노블레스]
헤드업 디스플레이 [+시그니처]
기아 디지털 키 2 [+시그니처]
지문 인증 시스템 [+시그니처]
운전석 메모리시트 [+시그니처]
운전석 이지 억세스 [+시그니처]
후진연동 자동하향 아웃사이드미러 [+시그니처]</t>
  </si>
  <si>
    <t>버튼시동 스마트키 시스템(원격시동 포함)
컬럼 타입 전자식 변속 레버, 패들 쉬프트
전자식 파킹 브레이크(오토홀드 포함)
후방 모니터, 주행 중 후방 뷰, 오토 라이트 컨트롤
후석 승객 알림
열선 스티어링 휠
수동식 틸트&amp;텔레스코픽 스티어링 휠
1열/2열 파워윈도우
파워도어록
독립제어 풀오토 에어컨(운전석/동승석)
고성능 에어컨 필터
공기청정 시스템(미세먼지 센서 포함)
오토디포그
애프터 블로우
C타입 USB 단자(충전용, 1열 2개/1열 시트백 2개)
파워아웃렛
워크 어웨이 락
하이패스 자동결제 시스템(e hi-pass 기능 포함) [+프레스티지]
스마트폰 무선충전 시스템 [+프레스티지]
레인센서 [+프레스티지]
운전석 세이프티 파워윈도우 [+프레스티지]
기아 디지털 키 2 [+시그니처]
스마트 파워테일게이트 [+시그니처]
운전자세 메모리 시스템(운전석 시트, 아웃사이드 미러) [+시그니처]
1열 이지 억세스 [+시그니처]
후진연동 자동하향 아웃사이드미러 [+시그니처]
동승석/2열 세이프티 파워윈도우 [+시그니처]
100W C타입 USB 단자(충전용, 1열 2개/정품 충전 케이블 1개) [+시그니처]</t>
  </si>
  <si>
    <t>버튼시동 스마트키 시스템(원격시동 포함)
전자식 변속 다이얼 [+시그니처]
패들 쉬프트(회생제동 컨트롤 포함)
전자식 파킹 브레이크(오토홀드 포함)
후방 모니터, 오토 라이트 컨트롤
후석 승객 알림
열선 스티어링 휠 [+프레스티지]
수동식 틸트&amp;텔레스코픽 스티어링 휠
운전석 세이프티 파워 윈도우
동승석/2열 세이프티 파워윈도우 [+시그니처]
독립제어 풀오토 에어컨(운전석/동승석)
고성능 에어컨 필터
공기청정 시스템(미세먼지 센서 포함)
오토 디포그
2열 에어벤트 [+프레스티지]
애프터 블로우
C타입 USB 단자(충전용, 1열 프론트 콘솔 1개/1열 시트백 2개)
1열 파워아웃렛
PTC 보조히터
워크 어웨이 락
하이패스 자동결제 시스템(e hi-pass 기능 포함) [+프레스티지]
스마트폰 무선충전 시스템 [+프레스티지]
레인센서 [+프레스티지]
운전석 자동쾌적 제어 [+프레스티지]
서라운드 뷰 모니터 [+시그니처]
리모트 360도 뷰(내 차 주변 영상) [+시그니처]
후측방 모니터 [+시그니처]
원격 스마트 주차 보조 [+시그니처]</t>
  </si>
  <si>
    <t>인포테인먼트</t>
  </si>
  <si>
    <t>12.3인치 내비게이션(기아 커넥트, 폰 프로젝션, 인카페이먼트) [+노블레스]
기아 AI 어시스턴트 [+노블레스]
무선 소프트웨어 업데이트
6스피커
스티어링 휠 오디오 리모컨
블루투스 핸즈프리
USB 단자(데이터/충전 전환형)</t>
  </si>
  <si>
    <t>12.3인치 내비게이션(기아 커넥트, 폰 프로젝션, 인카페이먼트) [+프레스티지]
기아 AI 어시스턴트 [+프레스티지]
무선 소프트웨어 업데이트
6스피커
스티어링 휠 오디오 리모컨
블루투스 핸즈프리
USB 단자(데이터리딩용)</t>
  </si>
  <si>
    <t>12.3인치 내비게이션(기아 커넥트, 폰 프로젝션, 인카페이먼트) [+프레스티지]
기아 AI 어시스턴트 [+프레스티지]
인포테인먼트/공조 전환 조작계
무선 소프트웨어 업데이트
6스피커
스티어링 휠 오디오 리모컨
블루투스 핸즈프리
C타입 USB 단자(데이터/충전 전환형)</t>
  </si>
  <si>
    <t>[범례]</t>
  </si>
  <si>
    <t>[+프레스티지] = 프레스티지 트림부터 추가된 사양</t>
  </si>
  <si>
    <t>[+노블레스] = 노블레스 트림부터 추가된 사양</t>
  </si>
  <si>
    <t>[+시그니처] = 시그니처 트림에서 추가된 사양</t>
  </si>
  <si>
    <t>태그 없음 = 최하위 트림(프레스티지/트렌디)부터 기본 포함</t>
  </si>
  <si>
    <t>가격은 친환경차 세제혜택 후 기준(만원)</t>
  </si>
  <si>
    <t>선택옵션 세부사양 (Sheet1 R19~R31 기준)</t>
  </si>
  <si>
    <t>선택옵션</t>
  </si>
  <si>
    <t>전자식 4WD
터레인 모드(오토/스노우/머드/샌드)</t>
  </si>
  <si>
    <t>전자식 4WD
터레인 모드(스노우/머드/샌드)
후륜 멀티링크 서스펜션</t>
  </si>
  <si>
    <t>[가솔린 노블레스]
235/55 R19 타이어&amp;전면가공 휠, 프로젝션 LED 헤드램프, 프론트/리어 LED 턴시그널램프, 다이내믹 웰컴 라이트, LED 포그램프
[HEV 노블레스]
235/55 R19 국산 타이어&amp;전면가공 휠, 프로젝션 LED 헤드램프, 프론트/리어 LED 턴시그널램프, 다이내믹 웰컴 라이트, LED 포그램프</t>
  </si>
  <si>
    <t>[프레스티지·시그니처]
235/45 R19 타이어&amp;전면가공 휠, 프로젝션 LED 헤드램프, 프론트/리어 LED 턴시그널램프, 다이내믹 웰컴 라이트, 프리미엄 LED 주간 주행등, LED 포그램프</t>
  </si>
  <si>
    <t>프로젝션 LED 헤드램프
프론트/리어 LED 턴시그널 램프
LED 후진등
LED 포그램프
블랙 하이그로시(휠아치 몰딩&amp;사이드 가니쉬, 그릴 가니쉬, 프론트/리어 범퍼, 서라운드 몰딩, B/C필라 가니쉬, 후드 어퍼 가니쉬, 윈드쉴드 사이드 가니쉬)
크롬 스키드 플레이트</t>
  </si>
  <si>
    <t>[노블레스]
순차점등 턴시그널램프(리어), 지능형 헤드램프(IFS), 다이내믹 앰비언트 라이트, 다이내믹 웰컴/에스코트 라이트, 245/40 R19 미쉐린 타이어&amp;전면가공 휠, 실버 라이닝 다크 우드그레인 내장재, 프리뷰 전자제어 서스펜션
[HEV 노블레스]
순차점등 턴시그널램프(리어), 지능형 헤드램프(IFS), 다이내믹 앰비언트 라이트, 다이내믹 웰컴/에스코트 라이트, 245/45 R18 타이어&amp;전면가공 휠, 실버라이닝 다크 우드그레인 내장재</t>
  </si>
  <si>
    <t>235/55 R19 타이어&amp;전면가공 휠</t>
  </si>
  <si>
    <t>225/45 R18 콘티넨탈 타이어&amp;전면가공 휠
※ 니로는 18인치 휠 옵션</t>
  </si>
  <si>
    <t>[2.5G 시그니처]
245/40 R19 미쉐린 타이어&amp;전면가공 휠, 프리뷰 전자제어 서스펜션
[HEV 시그니처]
245/40 R19 미쉐린 타이어&amp;전면가공 휠, 프리뷰 전자제어 서스펜션
※ K8은 프리뷰 전자제어 서스펜션 I 패키지</t>
  </si>
  <si>
    <t>동승석 파워시트
동승석 워크인 디바이스
동승석 전동식 허리지지대
2열 열선시트
2열 리모트 폴딩 레버</t>
  </si>
  <si>
    <t>[프레스티지]
1열 이중접합 차음 글라스, 앰비언트 라이트, 러기지 커버링 쉘프, 동승석 파워시트, 동승석 전동식 허리지지대, 2열 열선시트, 2열 센터 암레스트 슬라이딩 컵홀더, 2열 에어벤트, 스마트 파워테일게이트
[시그니처·X-Line]
1열 이중접합 차음 글라스, 앰비언트 라이트, 러기지 커버링 쉘프, 2열 열선시트, 2열 센터 암레스트 슬라이딩 컵홀더, 2열 에어벤트</t>
  </si>
  <si>
    <t>[프레스티지]
운전자세 메모리 시스템(운전석 시트, 아웃사이드 미러), 1열 이지 억세스, 후진연동 자동하향 아웃사이드미러, 동승석 파워시트, 1열 릴렉션 컴포트시트, 동승석 워크인 디바이스, 동승석 전동식 허리지지대, 전자식 변속 다이얼, 크롬 인사이드 도어핸들, 패드 프린트 가니쉬(크래쉬패드, 1열 도어 센터트림, 콘솔 어퍼커버), 2열 도어 암레스트 인조가죽 감싸기
[시그니처]
운전자세 메모리 시스템(운전석 시트, 아웃사이드 미러), 1열 이지 억세스, 후진연동 자동하향 아웃사이드미러, 동승석 파워시트, 1열 릴렉션 컴포트시트, 동승석 워크인 디바이스, 동승석 전동식 허리지지대</t>
  </si>
  <si>
    <t>메탈 페달
메탈 도어스커프
퀼팅 가죽/스웨이드 시트
※ 블랙 또는 네이비 그레이 인테리어 중 선택</t>
  </si>
  <si>
    <t>프리미엄 스티어링 휠
스웨이드 내장재(헤드라이닝, 필라트림, 선바이저)
앰비언트 라이트
메탈 페달/풋레스트
메탈 도어 스커프
후석 승객 알림(센서 타입)
220V 인버터
가죽시트
2열 열선시트
2열 센터 암레스트
※ 블루 그레이 인테리어 선택 불가</t>
  </si>
  <si>
    <t>후면 전동 선커튼
뒷좌석 다기능 센터 암레스트
에어컨 광촉매 살균 시스템
3존 공조(뒷좌석 온도 제어)
[2.5G/3.5G] 뒷좌석 통풍시트 추가</t>
  </si>
  <si>
    <t>전방 충돌방지 보조(교차 차량/측방 접근차/추월시 대향차/회피 조향 보조 기능 포함)
후측방 충돌방지 보조(전진 출차/주행)
후방 교차충돌 방지 보조
스마트 크루즈 컨트롤(운전 스타일 연동)
내비게이션 기반 스마트 크루즈 컨트롤(고속도로/자동차 전용도로 內 진출입로)
고속도로 주행 보조 2(차로변경 보조 기능 포함)
안전 하차 경고
후석 승객 알림(센서 타입)
운전자 전방 주시 경고 카메라</t>
  </si>
  <si>
    <t>[프레스티지]
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운전자 전방 주시 경고 카메라, 전자식 차일드락
[시그니처·X-Line]
전방 충돌방지 보조(교차 차량/측방 접근차/추월시 대향차/회피 조향 보조 기능 포함), 후측방 충돌방지 보조(주행), 스마트 크루즈 컨트롤(운전 스타일 연동), 내비게이션 기반 스마트 크루즈 컨트롤(고속도로/자동차 전용도로 內 진출입로), 고속도로 주행 보조 2(차로변경 보조 기능 포함), 운전자 전방 주시 경고 카메라</t>
  </si>
  <si>
    <t>[드라이브 와이즈 I]
후측방 충돌 경고(전진 출차/주행), 후측방 충돌방지 보조(전진 출차), 후방 교차 충돌방지 보조, 안전 하차 보조, 전자식 차일드락
※ 드라이브 와이즈 Ⅱ와 중복 선택 불가
[드라이브 와이즈 Ⅱ — 프레스티지·시그니처만]
전방 충돌방지 보조(교차 차량/측방 접근차/추월시 대향차/회피 조향 보조 기능 포함), 후측방 충돌 경고(전진 출차/주행), 후측방 충돌방지 보조(전진 출차, 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전자식 차일드락</t>
  </si>
  <si>
    <t>[노블레스 라이트]
전방 충돌방지 보조(교차 차량/측방 접근차/추월시 대향차/회피 조향 보조 기능 포함), 후측방 충돌방지 보조(전진 출차/주행), 후방 교차 충돌방지 보조, 스마트 크루즈 컨트롤(운전 스타일 연동), 내비게이션 기반 스마트 크루즈 컨트롤(고속도로/자동차 전용도로 內 진출입로), 고속도로 주행 보조 2(차로변경 보조 기능 포함), 안전 하차 보조, 전자식 차일드락, 후석 승객 알림(센서 타입)
[베스트 셀렉션]
전방 충돌방지 보조(교차 차량/측방 접근차/추월시 대향차/회피 조향 보조 기능 포함), 스마트 크루즈 컨트롤(운전 스타일 연동), 내비게이션 기반 스마트 크루즈 컨트롤(고속도로/자동차 전용도로 內 진출입로), 고속도로 주행 보조 2(차로변경 보조 기능 포함), 후석 승객 알림(센서 타입)
※ 노블레스·시그니처는 기본 적용</t>
  </si>
  <si>
    <t>빌트인 캠 2
증강현실 내비게이션</t>
  </si>
  <si>
    <t>빌트인 캠 2 플러스
증강현실 내비게이션
※ 64GB Micro SD 카드 기본 제공</t>
  </si>
  <si>
    <t>빌트인 캠 2
증강현실 내비게이션
※ 시그니처 이상 기본 적용
※ 64GB Micro SD 카드 기본 제공</t>
  </si>
  <si>
    <t>서라운드 뷰 모니터
후측방 모니터
리모트 360도 뷰(내 차 주변 영상)
후방 주차 충돌방지 보조
원격 스마트 주차 보조
측방 주차 거리 경고</t>
  </si>
  <si>
    <t>서라운드 뷰 모니터
후측방 모니터
리모트 360도 뷰(내 차 주변 영상)
측방 주차 거리 경고
후방 주차 충돌방지 보조
원격 스마트 주차 보조</t>
  </si>
  <si>
    <t>K8 노블레스 이상 기본 적용:
서라운드 뷰 모니터, 후측방 모니터, 원격 스마트 주차 보조</t>
  </si>
  <si>
    <t>헤드업 디스플레이</t>
  </si>
  <si>
    <t>헤드업 디스플레이
※ 시그니처 이상 기본 적용</t>
  </si>
  <si>
    <t>[가솔린] KRELL 프리미엄 사운드(8스피커, 외장앰프), 액티브 엔진 사운드
[HEV] KRELL 프리미엄 사운드(8스피커, 외장앰프)</t>
  </si>
  <si>
    <t>하만카돈 프리미엄 사운드(8스피커, 외장앰프)
1열 바이브로 사운드 시트</t>
  </si>
  <si>
    <t>하만카돈 프리미엄 사운드(8스피커, 외장앰프)</t>
  </si>
  <si>
    <t>메리디안 프리미엄 사운드(14스피커, 외장앰프)
액티브 로드 노이즈 컨트롤</t>
  </si>
  <si>
    <t>헤드업 디스플레이
기아 디지털 키 2
지문 인증 시스템
터치타입 아웃사이드 도어핸들</t>
  </si>
  <si>
    <t>오토 플러시 도어 핸들
기아 디지털 키 2
100W C타입 USB 단자(충전용, 1열 2개/정품 충전 케이블 1개)</t>
  </si>
  <si>
    <t>기아 디지털 키 2
크롬&amp;터치타입 아웃사이드 도어핸들
100W C타입 USB 단자(충전용, 1열 1개/정품 충전 케이블 1개)
스마트 파워테일게이트</t>
  </si>
  <si>
    <t>빌트인 캠 2
증강현실 내비게이션
지문 인증 시스템</t>
  </si>
  <si>
    <t>실내 V2L 콘센트
러기지 언더트레이
※ 하이브리드 전용</t>
  </si>
  <si>
    <t>파노라마선루프</t>
  </si>
  <si>
    <t>[노블레스·시그니처·X-Line] 파노라마 선루프
[프레스티지] 파노라마 선루프, 루프랙</t>
  </si>
  <si>
    <t>파노라마 선루프
니트 헤드라이닝
※ 투톤 루프와 중복 선택 불가</t>
  </si>
  <si>
    <t>선루프
LED 실내등(맵램프, 룸램프, 러기지램프)
※ 마이컴포트 패키지와 동시 선택 불가</t>
  </si>
  <si>
    <t>파노라마 선루프</t>
  </si>
  <si>
    <t>[비고]</t>
  </si>
  <si>
    <t>• 트림에 따라 세부사양이 다른 경우 [트림명]으로 구분 표기</t>
  </si>
  <si>
    <t>• "-"는 해당 차종에 해당 옵션이 없음을 의미</t>
  </si>
  <si>
    <t>• "기본"으로 표시된 옵션은 해당 트림에 기본 탑재</t>
  </si>
  <si>
    <t>• 동일 옵션명이라도 차종별 세부 구성이 다를 수 있음</t>
  </si>
  <si>
    <r>
      <rPr>
        <b/>
        <sz val="10"/>
        <color theme="1"/>
        <rFont val="맑은 고딕"/>
        <family val="3"/>
        <charset val="129"/>
      </rPr>
      <t>차량</t>
    </r>
    <r>
      <rPr>
        <b/>
        <sz val="10"/>
        <color theme="1"/>
        <rFont val="Arial"/>
        <family val="2"/>
      </rPr>
      <t xml:space="preserve"> </t>
    </r>
    <r>
      <rPr>
        <b/>
        <sz val="10"/>
        <color theme="1"/>
        <rFont val="맑은 고딕"/>
        <family val="3"/>
        <charset val="129"/>
      </rPr>
      <t>가격</t>
    </r>
    <r>
      <rPr>
        <sz val="8"/>
        <color theme="1"/>
        <rFont val="Arial"/>
        <family val="2"/>
      </rPr>
      <t xml:space="preserve"> (</t>
    </r>
    <r>
      <rPr>
        <sz val="8"/>
        <color theme="1"/>
        <rFont val="맑은 고딕"/>
        <family val="3"/>
        <charset val="129"/>
      </rPr>
      <t>친환경차</t>
    </r>
    <r>
      <rPr>
        <sz val="8"/>
        <color theme="1"/>
        <rFont val="Arial"/>
        <family val="2"/>
      </rPr>
      <t xml:space="preserve"> </t>
    </r>
    <r>
      <rPr>
        <sz val="8"/>
        <color theme="1"/>
        <rFont val="맑은 고딕"/>
        <family val="3"/>
        <charset val="129"/>
      </rPr>
      <t>세제</t>
    </r>
    <r>
      <rPr>
        <sz val="8"/>
        <color theme="1"/>
        <rFont val="Arial"/>
        <family val="2"/>
      </rPr>
      <t xml:space="preserve"> </t>
    </r>
    <r>
      <rPr>
        <sz val="8"/>
        <color theme="1"/>
        <rFont val="맑은 고딕"/>
        <family val="3"/>
        <charset val="129"/>
      </rPr>
      <t>혜택</t>
    </r>
    <r>
      <rPr>
        <sz val="8"/>
        <color theme="1"/>
        <rFont val="Arial"/>
        <family val="2"/>
      </rPr>
      <t xml:space="preserve"> </t>
    </r>
    <r>
      <rPr>
        <sz val="8"/>
        <color theme="1"/>
        <rFont val="맑은 고딕"/>
        <family val="3"/>
        <charset val="129"/>
      </rPr>
      <t>후</t>
    </r>
    <r>
      <rPr>
        <sz val="8"/>
        <color theme="1"/>
        <rFont val="Arial"/>
        <family val="2"/>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</si>
</sst>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theme="1"/>
      <name val="맑은 고딕"/>
      <family val="2"/>
      <charset val="129"/>
      <scheme val="minor"/>
    </font>
    <font>
      <sz val="10"/>
      <color theme="1"/>
      <name val="Arial"/>
      <family val="2"/>
    </font>
    <font>
      <b/>
      <sz val="10"/>
      <color theme="1"/>
      <name val="Arial"/>
      <family val="2"/>
    </font>
    <font>
      <sz val="8"/>
      <name val="맑은 고딕"/>
      <family val="2"/>
      <charset val="129"/>
      <scheme val="minor"/>
    </font>
    <font>
      <sz val="10"/>
      <color theme="1"/>
      <name val="맑은 고딕"/>
      <family val="2"/>
      <charset val="129"/>
    </font>
    <font>
      <sz val="10"/>
      <color theme="1"/>
      <name val="Arial"/>
      <family val="3"/>
      <charset val="129"/>
    </font>
    <font>
      <b/>
      <sz val="10"/>
      <color theme="1"/>
      <name val="맑은 고딕"/>
      <family val="3"/>
      <charset val="129"/>
    </font>
    <font>
      <sz val="8"/>
      <color theme="1"/>
      <name val="맑은 고딕"/>
      <family val="3"/>
      <charset val="129"/>
    </font>
    <font>
      <b/>
      <sz val="10"/>
      <color theme="1"/>
      <name val="Arial"/>
      <family val="3"/>
      <charset val="129"/>
    </font>
    <font>
      <sz val="8"/>
      <color theme="1"/>
      <name val="Arial"/>
      <family val="2"/>
    </font>
    <font>
      <b/>
      <sz val="10"/>
      <color theme="1"/>
      <name val="Arial"/>
      <family val="2"/>
      <charset val="129"/>
    </font>
    <font>
      <sz val="12"/>
      <color theme="1"/>
      <name val="맑은 고딕"/>
      <family val="2"/>
      <charset val="129"/>
      <scheme val="minor"/>
    </font>
    <font>
      <b/>
      <sz val="10"/>
      <color theme="0"/>
      <name val="맑은 고딕"/>
      <family val="2"/>
      <charset val="129"/>
    </font>
    <font>
      <b/>
      <sz val="10"/>
      <color theme="0"/>
      <name val="Arial"/>
      <family val="2"/>
    </font>
    <font>
      <b/>
      <sz val="10"/>
      <color theme="0"/>
      <name val="맑은 고딕"/>
      <family val="3"/>
      <charset val="129"/>
    </font>
    <font>
      <sz val="10"/>
      <name val="맑은 고딕"/>
      <family val="3"/>
      <charset val="129"/>
    </font>
    <font>
      <sz val="10"/>
      <name val="Arial"/>
      <family val="2"/>
    </font>
    <font>
      <b/>
      <sz val="10"/>
      <color theme="0"/>
      <name val="Arial"/>
      <family val="3"/>
    </font>
    <font>
      <b/>
      <sz val="14"/>
      <name val="맑은 고딕"/>
      <family val="3"/>
      <charset val="129"/>
    </font>
    <font>
      <b/>
      <sz val="12"/>
      <color rgb="FFFFFFFF"/>
      <name val="맑은 고딕"/>
      <family val="3"/>
      <charset val="129"/>
    </font>
    <font>
      <b/>
      <sz val="11"/>
      <name val="맑은 고딕"/>
      <family val="3"/>
      <charset val="129"/>
    </font>
    <font>
      <sz val="10"/>
      <name val="맑은 고딕"/>
      <family val="3"/>
      <charset val="129"/>
    </font>
    <font>
      <b/>
      <sz val="10"/>
      <name val="맑은 고딕"/>
      <family val="3"/>
      <charset val="129"/>
    </font>
    <font>
      <sz val="9"/>
      <color rgb="FF666666"/>
      <name val="맑은 고딕"/>
      <family val="3"/>
      <charset val="129"/>
    </font>
    <font>
      <b/>
      <sz val="14"/>
      <name val="맑은 고딕"/>
      <family val="3"/>
      <charset val="129"/>
    </font>
    <font>
      <b/>
      <sz val="11"/>
      <color rgb="FFFFFFFF"/>
      <name val="맑은 고딕"/>
      <family val="3"/>
      <charset val="129"/>
    </font>
    <font>
      <b/>
      <sz val="10"/>
      <name val="맑은 고딕"/>
      <family val="3"/>
      <charset val="129"/>
    </font>
    <font>
      <sz val="9"/>
      <name val="맑은 고딕"/>
      <family val="3"/>
      <charset val="129"/>
    </font>
    <font>
      <sz val="9"/>
      <color rgb="FF999999"/>
      <name val="맑은 고딕"/>
      <family val="3"/>
      <charset val="129"/>
    </font>
    <font>
      <sz val="9"/>
      <color rgb="FF666666"/>
      <name val="맑은 고딕"/>
      <family val="3"/>
      <charset val="129"/>
    </font>
  </fonts>
  <fills count="11">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2F5496"/>
        <bgColor rgb="FF2F5496"/>
      </patternFill>
    </fill>
    <fill>
      <patternFill patternType="solid">
        <fgColor rgb="FFD6E4F0"/>
        <bgColor rgb="FFD6E4F0"/>
      </patternFill>
    </fill>
    <fill>
      <patternFill patternType="solid">
        <fgColor rgb="FF2F5496"/>
        <bgColor rgb="FF2F5496"/>
      </patternFill>
    </fill>
    <fill>
      <patternFill patternType="solid">
        <fgColor rgb="FFD6E4F0"/>
        <bgColor rgb="FFD6E4F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theme="2"/>
      </right>
      <top style="thin">
        <color auto="1"/>
      </top>
      <bottom style="thin">
        <color theme="2"/>
      </bottom>
      <diagonal/>
    </border>
    <border>
      <left style="thin">
        <color theme="2"/>
      </left>
      <right style="thin">
        <color theme="2"/>
      </right>
      <top style="thin">
        <color auto="1"/>
      </top>
      <bottom style="thin">
        <color theme="2"/>
      </bottom>
      <diagonal/>
    </border>
    <border>
      <left/>
      <right/>
      <top style="thin">
        <color auto="1"/>
      </top>
      <bottom style="thin">
        <color theme="2"/>
      </bottom>
      <diagonal/>
    </border>
    <border>
      <left/>
      <right style="thin">
        <color theme="2"/>
      </right>
      <top style="thin">
        <color auto="1"/>
      </top>
      <bottom style="thin">
        <color theme="2"/>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s>
  <cellStyleXfs count="1">
    <xf numFmtId="0" fontId="0" fillId="0" borderId="0">
      <alignment vertical="center"/>
    </xf>
  </cellStyleXfs>
  <cellXfs count="49">
    <xf numFmtId="0" fontId="0" fillId="0" borderId="0" xfId="0">
      <alignment vertical="center"/>
    </xf>
    <xf numFmtId="0" fontId="1" fillId="0" borderId="1" xfId="0" applyFont="1" applyBorder="1" applyAlignment="1">
      <alignment vertical="center" wrapText="1"/>
    </xf>
    <xf numFmtId="0" fontId="1" fillId="0" borderId="1" xfId="0" applyFont="1" applyBorder="1" applyAlignment="1">
      <alignment horizontal="right" vertical="center" wrapText="1"/>
    </xf>
    <xf numFmtId="3" fontId="2" fillId="0" borderId="1" xfId="0" applyNumberFormat="1" applyFont="1" applyBorder="1" applyAlignment="1">
      <alignment horizontal="right" vertical="center" wrapText="1"/>
    </xf>
    <xf numFmtId="0" fontId="11" fillId="0" borderId="0" xfId="0" applyFont="1">
      <alignment vertical="center"/>
    </xf>
    <xf numFmtId="0" fontId="0" fillId="0" borderId="1" xfId="0" applyBorder="1">
      <alignment vertical="center"/>
    </xf>
    <xf numFmtId="0" fontId="4" fillId="3" borderId="1" xfId="0" applyFont="1" applyFill="1" applyBorder="1" applyAlignment="1">
      <alignment vertical="center" wrapText="1"/>
    </xf>
    <xf numFmtId="0" fontId="16" fillId="4" borderId="1" xfId="0" applyFont="1" applyFill="1" applyBorder="1" applyAlignment="1">
      <alignment horizontal="center" vertical="center" wrapText="1"/>
    </xf>
    <xf numFmtId="0" fontId="0" fillId="0" borderId="1" xfId="0" applyBorder="1" applyAlignment="1">
      <alignment horizontal="right" vertical="center"/>
    </xf>
    <xf numFmtId="0" fontId="1" fillId="6" borderId="1" xfId="0" applyFont="1" applyFill="1" applyBorder="1" applyAlignment="1">
      <alignment vertical="center" wrapText="1"/>
    </xf>
    <xf numFmtId="0" fontId="1" fillId="0" borderId="5" xfId="0" applyFont="1" applyBorder="1" applyAlignment="1">
      <alignment vertical="center" wrapText="1"/>
    </xf>
    <xf numFmtId="0" fontId="0" fillId="0" borderId="0" xfId="0" applyAlignment="1"/>
    <xf numFmtId="0" fontId="19" fillId="7" borderId="12" xfId="0" applyFont="1" applyFill="1" applyBorder="1" applyAlignment="1">
      <alignment horizontal="center" vertical="center" wrapText="1"/>
    </xf>
    <xf numFmtId="0" fontId="20" fillId="8" borderId="12" xfId="0" applyFont="1" applyFill="1" applyBorder="1" applyAlignment="1">
      <alignment vertical="top" wrapText="1"/>
    </xf>
    <xf numFmtId="0" fontId="21" fillId="0" borderId="12" xfId="0" applyFont="1" applyBorder="1" applyAlignment="1">
      <alignment vertical="top" wrapText="1"/>
    </xf>
    <xf numFmtId="0" fontId="22" fillId="0" borderId="0" xfId="0" applyFont="1" applyAlignment="1"/>
    <xf numFmtId="0" fontId="23" fillId="0" borderId="0" xfId="0" applyFont="1" applyAlignment="1"/>
    <xf numFmtId="0" fontId="15" fillId="0" borderId="12" xfId="0" applyFont="1" applyBorder="1" applyAlignment="1">
      <alignment vertical="top" wrapText="1"/>
    </xf>
    <xf numFmtId="0" fontId="25" fillId="9" borderId="13" xfId="0" applyFont="1" applyFill="1" applyBorder="1" applyAlignment="1">
      <alignment horizontal="center" vertical="center" wrapText="1"/>
    </xf>
    <xf numFmtId="0" fontId="26" fillId="10" borderId="13" xfId="0" applyFont="1" applyFill="1" applyBorder="1" applyAlignment="1">
      <alignment vertical="top" wrapText="1"/>
    </xf>
    <xf numFmtId="0" fontId="27" fillId="0" borderId="13" xfId="0" applyFont="1" applyBorder="1" applyAlignment="1">
      <alignment vertical="top" wrapText="1"/>
    </xf>
    <xf numFmtId="0" fontId="28" fillId="0" borderId="13" xfId="0" applyFont="1" applyBorder="1" applyAlignment="1">
      <alignment vertical="top" wrapText="1"/>
    </xf>
    <xf numFmtId="0" fontId="26" fillId="0" borderId="0" xfId="0" applyFont="1" applyAlignment="1"/>
    <xf numFmtId="0" fontId="29" fillId="0" borderId="0" xfId="0" applyFont="1" applyAlignment="1"/>
    <xf numFmtId="3" fontId="1" fillId="0" borderId="1" xfId="0" applyNumberFormat="1" applyFont="1" applyBorder="1" applyAlignment="1">
      <alignment horizontal="center" vertical="center" wrapText="1"/>
    </xf>
    <xf numFmtId="0" fontId="0" fillId="0" borderId="2" xfId="0" applyBorder="1" applyAlignment="1"/>
    <xf numFmtId="0" fontId="1" fillId="0" borderId="1" xfId="0" applyFont="1" applyBorder="1" applyAlignment="1">
      <alignment horizontal="center" vertical="center" wrapText="1"/>
    </xf>
    <xf numFmtId="0" fontId="14" fillId="2" borderId="9" xfId="0" applyFont="1" applyFill="1" applyBorder="1" applyAlignment="1">
      <alignment horizontal="center" vertical="center" wrapText="1"/>
    </xf>
    <xf numFmtId="0" fontId="0" fillId="0" borderId="11" xfId="0" applyBorder="1" applyAlignment="1"/>
    <xf numFmtId="3" fontId="1" fillId="0" borderId="5" xfId="0" applyNumberFormat="1" applyFont="1" applyBorder="1" applyAlignment="1">
      <alignment horizontal="center" vertical="center" wrapText="1"/>
    </xf>
    <xf numFmtId="0" fontId="0" fillId="0" borderId="7" xfId="0" applyBorder="1" applyAlignment="1"/>
    <xf numFmtId="0" fontId="0" fillId="0" borderId="3" xfId="0" applyBorder="1" applyAlignment="1"/>
    <xf numFmtId="0" fontId="17" fillId="2" borderId="9" xfId="0" applyFont="1" applyFill="1" applyBorder="1" applyAlignment="1">
      <alignment horizontal="center" vertical="center" wrapText="1"/>
    </xf>
    <xf numFmtId="0" fontId="0" fillId="0" borderId="10" xfId="0" applyBorder="1" applyAlignment="1"/>
    <xf numFmtId="0" fontId="0" fillId="0" borderId="4" xfId="0" applyBorder="1" applyAlignment="1"/>
    <xf numFmtId="0" fontId="0" fillId="0" borderId="5" xfId="0" applyBorder="1" applyAlignment="1"/>
    <xf numFmtId="0" fontId="10" fillId="0" borderId="1" xfId="0" applyFont="1" applyBorder="1" applyAlignment="1">
      <alignment horizontal="center" vertical="center" wrapText="1"/>
    </xf>
    <xf numFmtId="0" fontId="0" fillId="0" borderId="6" xfId="0" applyBorder="1" applyAlignment="1"/>
    <xf numFmtId="0" fontId="12" fillId="2" borderId="8" xfId="0" applyFont="1" applyFill="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vertical="center" wrapText="1"/>
    </xf>
    <xf numFmtId="0" fontId="1" fillId="0" borderId="5" xfId="0" applyFont="1" applyBorder="1" applyAlignment="1">
      <alignment horizontal="center" vertical="center" wrapText="1"/>
    </xf>
    <xf numFmtId="0" fontId="13" fillId="2" borderId="9"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8" fillId="0" borderId="0" xfId="0" applyFont="1" applyAlignment="1">
      <alignment horizontal="center"/>
    </xf>
    <xf numFmtId="0" fontId="0" fillId="0" borderId="0" xfId="0" applyAlignment="1"/>
    <xf numFmtId="0" fontId="24" fillId="0" borderId="0" xfId="0" applyFont="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Q32"/>
  <sheetViews>
    <sheetView tabSelected="1" workbookViewId="0">
      <selection activeCell="B19" sqref="B19:B31"/>
    </sheetView>
  </sheetViews>
  <sheetFormatPr defaultRowHeight="17.25"/>
  <cols>
    <col min="1" max="1" width="9.140625" style="4" customWidth="1"/>
    <col min="2" max="2" width="12.28515625" style="4" customWidth="1"/>
    <col min="3" max="3" width="16.140625" style="4" customWidth="1"/>
    <col min="4" max="17" width="12.7109375" style="4" customWidth="1"/>
    <col min="18" max="21" width="9.140625" style="4" customWidth="1"/>
    <col min="22" max="16384" width="9.140625" style="4"/>
  </cols>
  <sheetData>
    <row r="3" spans="2:17">
      <c r="B3" s="38" t="s">
        <v>0</v>
      </c>
      <c r="C3" s="28"/>
      <c r="D3" s="42" t="s">
        <v>1</v>
      </c>
      <c r="E3" s="33"/>
      <c r="F3" s="33"/>
      <c r="G3" s="28"/>
      <c r="H3" s="42" t="s">
        <v>2</v>
      </c>
      <c r="I3" s="33"/>
      <c r="J3" s="33"/>
      <c r="K3" s="28"/>
      <c r="L3" s="27" t="s">
        <v>3</v>
      </c>
      <c r="M3" s="28"/>
      <c r="N3" s="32" t="s">
        <v>4</v>
      </c>
      <c r="O3" s="33"/>
      <c r="P3" s="33"/>
      <c r="Q3" s="28"/>
    </row>
    <row r="4" spans="2:17">
      <c r="B4" s="41" t="s">
        <v>5</v>
      </c>
      <c r="C4" s="10" t="s">
        <v>6</v>
      </c>
      <c r="D4" s="29">
        <v>4685</v>
      </c>
      <c r="E4" s="37"/>
      <c r="F4" s="37"/>
      <c r="G4" s="30"/>
      <c r="H4" s="29">
        <v>4430</v>
      </c>
      <c r="I4" s="37"/>
      <c r="J4" s="37"/>
      <c r="K4" s="30"/>
      <c r="L4" s="29">
        <v>4430</v>
      </c>
      <c r="M4" s="30"/>
      <c r="N4" s="29">
        <v>5050</v>
      </c>
      <c r="O4" s="37"/>
      <c r="P4" s="37"/>
      <c r="Q4" s="30"/>
    </row>
    <row r="5" spans="2:17">
      <c r="B5" s="34"/>
      <c r="C5" s="1" t="s">
        <v>7</v>
      </c>
      <c r="D5" s="24">
        <v>1865</v>
      </c>
      <c r="E5" s="31"/>
      <c r="F5" s="31"/>
      <c r="G5" s="25"/>
      <c r="H5" s="24">
        <v>1830</v>
      </c>
      <c r="I5" s="31"/>
      <c r="J5" s="31"/>
      <c r="K5" s="25"/>
      <c r="L5" s="24">
        <v>1825</v>
      </c>
      <c r="M5" s="25"/>
      <c r="N5" s="24">
        <v>1880</v>
      </c>
      <c r="O5" s="31"/>
      <c r="P5" s="31"/>
      <c r="Q5" s="25"/>
    </row>
    <row r="6" spans="2:17">
      <c r="B6" s="34"/>
      <c r="C6" s="1" t="s">
        <v>8</v>
      </c>
      <c r="D6" s="24">
        <v>1660</v>
      </c>
      <c r="E6" s="31"/>
      <c r="F6" s="31"/>
      <c r="G6" s="25"/>
      <c r="H6" s="24">
        <v>1600</v>
      </c>
      <c r="I6" s="31"/>
      <c r="J6" s="31"/>
      <c r="K6" s="25"/>
      <c r="L6" s="24">
        <v>1545</v>
      </c>
      <c r="M6" s="25"/>
      <c r="N6" s="24">
        <v>1455</v>
      </c>
      <c r="O6" s="31"/>
      <c r="P6" s="31"/>
      <c r="Q6" s="25"/>
    </row>
    <row r="7" spans="2:17">
      <c r="B7" s="35"/>
      <c r="C7" s="1" t="s">
        <v>9</v>
      </c>
      <c r="D7" s="24">
        <v>2755</v>
      </c>
      <c r="E7" s="31"/>
      <c r="F7" s="31"/>
      <c r="G7" s="25"/>
      <c r="H7" s="24">
        <v>2690</v>
      </c>
      <c r="I7" s="31"/>
      <c r="J7" s="31"/>
      <c r="K7" s="25"/>
      <c r="L7" s="24">
        <v>2720</v>
      </c>
      <c r="M7" s="25"/>
      <c r="N7" s="24">
        <v>2895</v>
      </c>
      <c r="O7" s="31"/>
      <c r="P7" s="31"/>
      <c r="Q7" s="25"/>
    </row>
    <row r="8" spans="2:17">
      <c r="B8" s="26" t="s">
        <v>10</v>
      </c>
      <c r="C8" s="6" t="s">
        <v>11</v>
      </c>
      <c r="D8" s="45" t="s">
        <v>12</v>
      </c>
      <c r="E8" s="25"/>
      <c r="F8" s="44" t="s">
        <v>13</v>
      </c>
      <c r="G8" s="25"/>
      <c r="H8" s="45" t="s">
        <v>14</v>
      </c>
      <c r="I8" s="25"/>
      <c r="J8" s="44" t="s">
        <v>15</v>
      </c>
      <c r="K8" s="25"/>
      <c r="L8" s="44" t="s">
        <v>15</v>
      </c>
      <c r="M8" s="25"/>
      <c r="N8" s="45" t="s">
        <v>16</v>
      </c>
      <c r="O8" s="25"/>
      <c r="P8" s="44" t="s">
        <v>17</v>
      </c>
      <c r="Q8" s="25"/>
    </row>
    <row r="9" spans="2:17">
      <c r="B9" s="34"/>
      <c r="C9" s="1" t="s">
        <v>18</v>
      </c>
      <c r="D9" s="24">
        <v>1598</v>
      </c>
      <c r="E9" s="25"/>
      <c r="F9" s="24">
        <v>1598</v>
      </c>
      <c r="G9" s="25"/>
      <c r="H9" s="24">
        <v>1598</v>
      </c>
      <c r="I9" s="25"/>
      <c r="J9" s="24">
        <v>1580</v>
      </c>
      <c r="K9" s="25"/>
      <c r="L9" s="24">
        <v>1580</v>
      </c>
      <c r="M9" s="25"/>
      <c r="N9" s="24">
        <v>2497</v>
      </c>
      <c r="O9" s="25"/>
      <c r="P9" s="24">
        <v>1598</v>
      </c>
      <c r="Q9" s="25"/>
    </row>
    <row r="10" spans="2:17">
      <c r="B10" s="35"/>
      <c r="C10" s="1" t="s">
        <v>19</v>
      </c>
      <c r="D10" s="26" t="s">
        <v>20</v>
      </c>
      <c r="E10" s="25"/>
      <c r="F10" s="26" t="s">
        <v>21</v>
      </c>
      <c r="G10" s="25"/>
      <c r="H10" s="26" t="s">
        <v>22</v>
      </c>
      <c r="I10" s="25"/>
      <c r="J10" s="26" t="s">
        <v>23</v>
      </c>
      <c r="K10" s="25"/>
      <c r="L10" s="26" t="s">
        <v>23</v>
      </c>
      <c r="M10" s="25"/>
      <c r="N10" s="26" t="s">
        <v>24</v>
      </c>
      <c r="O10" s="25"/>
      <c r="P10" s="26" t="s">
        <v>21</v>
      </c>
      <c r="Q10" s="25"/>
    </row>
    <row r="11" spans="2:17">
      <c r="B11" s="40" t="s">
        <v>25</v>
      </c>
      <c r="C11" s="1" t="s">
        <v>26</v>
      </c>
      <c r="D11" s="24">
        <v>1575</v>
      </c>
      <c r="E11" s="25"/>
      <c r="F11" s="24">
        <v>1650</v>
      </c>
      <c r="G11" s="25"/>
      <c r="H11" s="24">
        <v>1465</v>
      </c>
      <c r="I11" s="25"/>
      <c r="J11" s="24">
        <v>1495</v>
      </c>
      <c r="K11" s="25"/>
      <c r="L11" s="24">
        <v>1450</v>
      </c>
      <c r="M11" s="25"/>
      <c r="N11" s="24">
        <v>1575</v>
      </c>
      <c r="O11" s="25"/>
      <c r="P11" s="24">
        <v>1655</v>
      </c>
      <c r="Q11" s="25"/>
    </row>
    <row r="12" spans="2:17">
      <c r="B12" s="34"/>
      <c r="C12" s="1" t="s">
        <v>27</v>
      </c>
      <c r="D12" s="26" t="s">
        <v>28</v>
      </c>
      <c r="E12" s="25"/>
      <c r="F12" s="26" t="s">
        <v>29</v>
      </c>
      <c r="G12" s="25"/>
      <c r="H12" s="26" t="s">
        <v>28</v>
      </c>
      <c r="I12" s="25"/>
      <c r="J12" s="26" t="s">
        <v>30</v>
      </c>
      <c r="K12" s="25"/>
      <c r="L12" s="26" t="s">
        <v>30</v>
      </c>
      <c r="M12" s="25"/>
      <c r="N12" s="26" t="s">
        <v>28</v>
      </c>
      <c r="O12" s="25"/>
      <c r="P12" s="26" t="s">
        <v>29</v>
      </c>
      <c r="Q12" s="25"/>
    </row>
    <row r="13" spans="2:17">
      <c r="B13" s="35"/>
      <c r="C13" s="1" t="s">
        <v>31</v>
      </c>
      <c r="D13" s="26">
        <v>3</v>
      </c>
      <c r="E13" s="25"/>
      <c r="F13" s="26">
        <v>2</v>
      </c>
      <c r="G13" s="25"/>
      <c r="H13" s="26">
        <v>3</v>
      </c>
      <c r="I13" s="25"/>
      <c r="J13" s="26">
        <v>1</v>
      </c>
      <c r="K13" s="25"/>
      <c r="L13" s="26">
        <v>1</v>
      </c>
      <c r="M13" s="25"/>
      <c r="N13" s="26">
        <v>3</v>
      </c>
      <c r="O13" s="25"/>
      <c r="P13" s="26">
        <v>1</v>
      </c>
      <c r="Q13" s="25"/>
    </row>
    <row r="14" spans="2:17">
      <c r="B14" s="26" t="s">
        <v>32</v>
      </c>
      <c r="C14" s="1" t="s">
        <v>33</v>
      </c>
      <c r="D14" s="26">
        <v>10.9</v>
      </c>
      <c r="E14" s="25"/>
      <c r="F14" s="26">
        <v>16.2</v>
      </c>
      <c r="G14" s="25"/>
      <c r="H14" s="26">
        <v>10.8</v>
      </c>
      <c r="I14" s="25"/>
      <c r="J14" s="26">
        <v>19.899999999999999</v>
      </c>
      <c r="K14" s="25"/>
      <c r="L14" s="26">
        <v>20.100000000000001</v>
      </c>
      <c r="M14" s="25"/>
      <c r="N14" s="26">
        <v>9.9</v>
      </c>
      <c r="O14" s="25"/>
      <c r="P14" s="26">
        <v>17.2</v>
      </c>
      <c r="Q14" s="25"/>
    </row>
    <row r="15" spans="2:17">
      <c r="B15" s="34"/>
      <c r="C15" s="1" t="s">
        <v>34</v>
      </c>
      <c r="D15" s="26">
        <v>13.6</v>
      </c>
      <c r="E15" s="25"/>
      <c r="F15" s="26">
        <v>15.3</v>
      </c>
      <c r="G15" s="25"/>
      <c r="H15" s="26">
        <v>14.3</v>
      </c>
      <c r="I15" s="25"/>
      <c r="J15" s="26">
        <v>18.399999999999999</v>
      </c>
      <c r="K15" s="25"/>
      <c r="L15" s="26">
        <v>18.600000000000001</v>
      </c>
      <c r="M15" s="25"/>
      <c r="N15" s="26">
        <v>14.5</v>
      </c>
      <c r="O15" s="25"/>
      <c r="P15" s="26">
        <v>17.2</v>
      </c>
      <c r="Q15" s="25"/>
    </row>
    <row r="16" spans="2:17">
      <c r="B16" s="35"/>
      <c r="C16" s="1" t="s">
        <v>35</v>
      </c>
      <c r="D16" s="26">
        <v>12</v>
      </c>
      <c r="E16" s="25"/>
      <c r="F16" s="26">
        <v>15.8</v>
      </c>
      <c r="G16" s="25"/>
      <c r="H16" s="26">
        <v>12.2</v>
      </c>
      <c r="I16" s="25"/>
      <c r="J16" s="26">
        <v>19.2</v>
      </c>
      <c r="K16" s="25"/>
      <c r="L16" s="26">
        <v>19.399999999999999</v>
      </c>
      <c r="M16" s="25"/>
      <c r="N16" s="26">
        <v>11.6</v>
      </c>
      <c r="O16" s="25"/>
      <c r="P16" s="26">
        <v>17.2</v>
      </c>
      <c r="Q16" s="25"/>
    </row>
    <row r="17" spans="2:17">
      <c r="B17" s="43" t="s">
        <v>36</v>
      </c>
      <c r="C17" s="25"/>
      <c r="D17" s="7" t="s">
        <v>37</v>
      </c>
      <c r="E17" s="7" t="s">
        <v>38</v>
      </c>
      <c r="F17" s="7" t="s">
        <v>37</v>
      </c>
      <c r="G17" s="7" t="s">
        <v>38</v>
      </c>
      <c r="H17" s="7" t="s">
        <v>39</v>
      </c>
      <c r="I17" s="7" t="s">
        <v>38</v>
      </c>
      <c r="J17" s="7" t="s">
        <v>39</v>
      </c>
      <c r="K17" s="7" t="s">
        <v>38</v>
      </c>
      <c r="L17" s="7" t="s">
        <v>39</v>
      </c>
      <c r="M17" s="7" t="s">
        <v>38</v>
      </c>
      <c r="N17" s="7" t="s">
        <v>37</v>
      </c>
      <c r="O17" s="7" t="s">
        <v>38</v>
      </c>
      <c r="P17" s="7" t="s">
        <v>37</v>
      </c>
      <c r="Q17" s="7" t="s">
        <v>38</v>
      </c>
    </row>
    <row r="18" spans="2:17">
      <c r="B18" s="39" t="s">
        <v>147</v>
      </c>
      <c r="C18" s="25"/>
      <c r="D18" s="3">
        <v>3242</v>
      </c>
      <c r="E18" s="3">
        <v>3507</v>
      </c>
      <c r="F18" s="3">
        <v>3723</v>
      </c>
      <c r="G18" s="3">
        <v>3988</v>
      </c>
      <c r="H18" s="3">
        <v>2880</v>
      </c>
      <c r="I18" s="3">
        <v>3145</v>
      </c>
      <c r="J18" s="3">
        <v>3255</v>
      </c>
      <c r="K18" s="3">
        <v>3520</v>
      </c>
      <c r="L18" s="3">
        <v>3242</v>
      </c>
      <c r="M18" s="3">
        <v>3515</v>
      </c>
      <c r="N18" s="3">
        <v>4143</v>
      </c>
      <c r="O18" s="3">
        <v>4502</v>
      </c>
      <c r="P18" s="3">
        <v>4678</v>
      </c>
      <c r="Q18" s="3">
        <v>5038</v>
      </c>
    </row>
    <row r="19" spans="2:17">
      <c r="B19" s="26" t="s">
        <v>40</v>
      </c>
      <c r="C19" s="1" t="s">
        <v>41</v>
      </c>
      <c r="D19" s="2">
        <v>223</v>
      </c>
      <c r="E19" s="2">
        <v>223</v>
      </c>
      <c r="F19" s="2">
        <v>223</v>
      </c>
      <c r="G19" s="2">
        <v>223</v>
      </c>
      <c r="H19" s="2">
        <v>198</v>
      </c>
      <c r="I19" s="2">
        <v>198</v>
      </c>
      <c r="J19" s="9"/>
      <c r="K19" s="9"/>
      <c r="L19" s="9"/>
      <c r="M19" s="9"/>
      <c r="N19" s="9"/>
      <c r="O19" s="9"/>
      <c r="P19" s="9"/>
      <c r="Q19" s="9"/>
    </row>
    <row r="20" spans="2:17">
      <c r="B20" s="34"/>
      <c r="C20" s="1" t="s">
        <v>42</v>
      </c>
      <c r="D20" s="2">
        <v>89</v>
      </c>
      <c r="E20" s="2" t="s">
        <v>43</v>
      </c>
      <c r="F20" s="2">
        <v>89</v>
      </c>
      <c r="G20" s="2" t="s">
        <v>43</v>
      </c>
      <c r="H20" s="2">
        <v>89</v>
      </c>
      <c r="I20" s="2">
        <v>89</v>
      </c>
      <c r="J20" s="2">
        <v>89</v>
      </c>
      <c r="K20" s="2">
        <v>89</v>
      </c>
      <c r="L20" s="2">
        <v>97</v>
      </c>
      <c r="M20" s="2">
        <v>97</v>
      </c>
      <c r="N20" s="2">
        <v>198</v>
      </c>
      <c r="O20" s="2" t="s">
        <v>43</v>
      </c>
      <c r="P20" s="2">
        <v>198</v>
      </c>
      <c r="Q20" s="2" t="s">
        <v>43</v>
      </c>
    </row>
    <row r="21" spans="2:17">
      <c r="B21" s="34"/>
      <c r="C21" s="1" t="s">
        <v>44</v>
      </c>
      <c r="D21" s="2" t="s">
        <v>43</v>
      </c>
      <c r="E21" s="2">
        <v>25</v>
      </c>
      <c r="F21" s="2" t="s">
        <v>43</v>
      </c>
      <c r="G21" s="2">
        <v>25</v>
      </c>
      <c r="H21" s="9"/>
      <c r="I21" s="9"/>
      <c r="J21" s="9"/>
      <c r="K21" s="9"/>
      <c r="L21" s="5">
        <v>49</v>
      </c>
      <c r="M21" s="5">
        <v>49</v>
      </c>
      <c r="N21" s="2" t="s">
        <v>43</v>
      </c>
      <c r="O21" s="2">
        <v>109</v>
      </c>
      <c r="P21" s="2" t="s">
        <v>43</v>
      </c>
      <c r="Q21" s="2">
        <v>109</v>
      </c>
    </row>
    <row r="22" spans="2:17">
      <c r="B22" s="34"/>
      <c r="C22" s="1" t="s">
        <v>45</v>
      </c>
      <c r="D22" s="2">
        <v>49</v>
      </c>
      <c r="E22" s="2" t="s">
        <v>46</v>
      </c>
      <c r="F22" s="2">
        <v>49</v>
      </c>
      <c r="G22" s="2" t="s">
        <v>46</v>
      </c>
      <c r="H22" s="2">
        <v>104</v>
      </c>
      <c r="I22" s="2">
        <v>45</v>
      </c>
      <c r="J22" s="2">
        <v>104</v>
      </c>
      <c r="K22" s="2">
        <v>45</v>
      </c>
      <c r="L22" s="5">
        <v>99</v>
      </c>
      <c r="M22" s="5">
        <v>99</v>
      </c>
      <c r="N22" s="9"/>
      <c r="O22" s="9"/>
      <c r="P22" s="9"/>
      <c r="Q22" s="9"/>
    </row>
    <row r="23" spans="2:17">
      <c r="B23" s="34"/>
      <c r="C23" s="1" t="s">
        <v>47</v>
      </c>
      <c r="D23" s="2" t="s">
        <v>43</v>
      </c>
      <c r="E23" s="2">
        <v>59</v>
      </c>
      <c r="F23" s="2" t="s">
        <v>43</v>
      </c>
      <c r="G23" s="2">
        <v>59</v>
      </c>
      <c r="H23" s="9"/>
      <c r="I23" s="9"/>
      <c r="J23" s="9"/>
      <c r="K23" s="9"/>
      <c r="L23" s="5">
        <v>124</v>
      </c>
      <c r="M23" s="5">
        <v>124</v>
      </c>
      <c r="N23" s="2">
        <v>109</v>
      </c>
      <c r="O23" s="2">
        <v>109</v>
      </c>
      <c r="P23" s="2">
        <v>69</v>
      </c>
      <c r="Q23" s="2">
        <v>69</v>
      </c>
    </row>
    <row r="24" spans="2:17">
      <c r="B24" s="34"/>
      <c r="C24" s="1" t="s">
        <v>48</v>
      </c>
      <c r="D24" s="2">
        <v>124</v>
      </c>
      <c r="E24" s="2">
        <v>124</v>
      </c>
      <c r="F24" s="2">
        <v>124</v>
      </c>
      <c r="G24" s="2">
        <v>124</v>
      </c>
      <c r="H24" s="2">
        <v>119</v>
      </c>
      <c r="I24" s="2">
        <v>79</v>
      </c>
      <c r="J24" s="2">
        <v>119</v>
      </c>
      <c r="K24" s="2">
        <v>79</v>
      </c>
      <c r="L24" s="5">
        <v>42</v>
      </c>
      <c r="M24" s="5">
        <v>42</v>
      </c>
      <c r="N24" s="2" t="s">
        <v>46</v>
      </c>
      <c r="O24" s="2" t="s">
        <v>46</v>
      </c>
      <c r="P24" s="2" t="s">
        <v>46</v>
      </c>
      <c r="Q24" s="2" t="s">
        <v>46</v>
      </c>
    </row>
    <row r="25" spans="2:17">
      <c r="B25" s="34"/>
      <c r="C25" s="1" t="s">
        <v>49</v>
      </c>
      <c r="D25" s="2">
        <v>45</v>
      </c>
      <c r="E25" s="2">
        <v>45</v>
      </c>
      <c r="F25" s="2">
        <v>45</v>
      </c>
      <c r="G25" s="2">
        <v>45</v>
      </c>
      <c r="H25" s="2">
        <v>45</v>
      </c>
      <c r="I25" s="2">
        <v>45</v>
      </c>
      <c r="J25" s="2">
        <v>45</v>
      </c>
      <c r="K25" s="2">
        <v>45</v>
      </c>
      <c r="L25" s="5">
        <v>45</v>
      </c>
      <c r="M25" s="5">
        <v>45</v>
      </c>
      <c r="N25" s="2" t="s">
        <v>43</v>
      </c>
      <c r="O25" s="2" t="s">
        <v>46</v>
      </c>
      <c r="P25" s="2" t="s">
        <v>43</v>
      </c>
      <c r="Q25" s="2" t="s">
        <v>46</v>
      </c>
    </row>
    <row r="26" spans="2:17">
      <c r="B26" s="34"/>
      <c r="C26" s="1" t="s">
        <v>50</v>
      </c>
      <c r="D26" s="2">
        <v>114</v>
      </c>
      <c r="E26" s="2">
        <v>114</v>
      </c>
      <c r="F26" s="2">
        <v>114</v>
      </c>
      <c r="G26" s="2">
        <v>114</v>
      </c>
      <c r="H26" s="2">
        <v>104</v>
      </c>
      <c r="I26" s="2">
        <v>104</v>
      </c>
      <c r="J26" s="2">
        <v>104</v>
      </c>
      <c r="K26" s="2">
        <v>104</v>
      </c>
      <c r="L26" s="9"/>
      <c r="M26" s="9"/>
      <c r="N26" s="2" t="s">
        <v>46</v>
      </c>
      <c r="O26" s="2" t="s">
        <v>46</v>
      </c>
      <c r="P26" s="2" t="s">
        <v>46</v>
      </c>
      <c r="Q26" s="2" t="s">
        <v>46</v>
      </c>
    </row>
    <row r="27" spans="2:17">
      <c r="B27" s="34"/>
      <c r="C27" s="1" t="s">
        <v>51</v>
      </c>
      <c r="D27" s="9"/>
      <c r="E27" s="9"/>
      <c r="F27" s="9"/>
      <c r="G27" s="9"/>
      <c r="H27" s="2">
        <v>59</v>
      </c>
      <c r="I27" s="2">
        <v>59</v>
      </c>
      <c r="J27" s="2">
        <v>59</v>
      </c>
      <c r="K27" s="2">
        <v>59</v>
      </c>
      <c r="L27" s="8" t="s">
        <v>43</v>
      </c>
      <c r="M27" s="5">
        <v>59</v>
      </c>
      <c r="N27" s="1">
        <v>84</v>
      </c>
      <c r="O27" s="2" t="s">
        <v>46</v>
      </c>
      <c r="P27" s="1">
        <v>84</v>
      </c>
      <c r="Q27" s="2" t="s">
        <v>46</v>
      </c>
    </row>
    <row r="28" spans="2:17">
      <c r="B28" s="34"/>
      <c r="C28" s="1" t="s">
        <v>52</v>
      </c>
      <c r="D28" s="2">
        <v>59</v>
      </c>
      <c r="E28" s="2">
        <v>59</v>
      </c>
      <c r="F28" s="2">
        <v>59</v>
      </c>
      <c r="G28" s="2">
        <v>59</v>
      </c>
      <c r="H28" s="2" t="s">
        <v>43</v>
      </c>
      <c r="I28" s="2">
        <v>89</v>
      </c>
      <c r="J28" s="2" t="s">
        <v>43</v>
      </c>
      <c r="K28" s="2">
        <v>89</v>
      </c>
      <c r="L28" s="5">
        <v>45</v>
      </c>
      <c r="M28" s="5">
        <v>45</v>
      </c>
      <c r="N28" s="2">
        <v>109</v>
      </c>
      <c r="O28" s="2">
        <v>109</v>
      </c>
      <c r="P28" s="2">
        <v>109</v>
      </c>
      <c r="Q28" s="2">
        <v>109</v>
      </c>
    </row>
    <row r="29" spans="2:17">
      <c r="B29" s="34"/>
      <c r="C29" s="1" t="s">
        <v>53</v>
      </c>
      <c r="D29" s="2">
        <v>119</v>
      </c>
      <c r="E29" s="2" t="s">
        <v>46</v>
      </c>
      <c r="F29" s="2">
        <v>119</v>
      </c>
      <c r="G29" s="2" t="s">
        <v>46</v>
      </c>
      <c r="H29" s="2">
        <v>109</v>
      </c>
      <c r="I29" s="2" t="s">
        <v>46</v>
      </c>
      <c r="J29" s="2">
        <v>109</v>
      </c>
      <c r="K29" s="2" t="s">
        <v>46</v>
      </c>
      <c r="L29" s="5">
        <v>59</v>
      </c>
      <c r="M29" s="5">
        <v>59</v>
      </c>
      <c r="N29" s="2">
        <v>54</v>
      </c>
      <c r="O29" s="2" t="s">
        <v>46</v>
      </c>
      <c r="P29" s="2">
        <v>54</v>
      </c>
      <c r="Q29" s="2" t="s">
        <v>46</v>
      </c>
    </row>
    <row r="30" spans="2:17">
      <c r="B30" s="34"/>
      <c r="C30" s="1" t="s">
        <v>54</v>
      </c>
      <c r="D30" s="9"/>
      <c r="E30" s="9"/>
      <c r="F30" s="9"/>
      <c r="G30" s="9"/>
      <c r="H30" s="9"/>
      <c r="I30" s="9"/>
      <c r="J30" s="2">
        <v>69</v>
      </c>
      <c r="K30" s="2">
        <v>69</v>
      </c>
      <c r="L30" s="9"/>
      <c r="M30" s="9"/>
      <c r="N30" s="1" t="s">
        <v>43</v>
      </c>
      <c r="O30" s="1" t="s">
        <v>43</v>
      </c>
      <c r="P30" s="1" t="s">
        <v>43</v>
      </c>
      <c r="Q30" s="1" t="s">
        <v>43</v>
      </c>
    </row>
    <row r="31" spans="2:17">
      <c r="B31" s="35"/>
      <c r="C31" s="1" t="s">
        <v>55</v>
      </c>
      <c r="D31" s="2">
        <v>109</v>
      </c>
      <c r="E31" s="2">
        <v>109</v>
      </c>
      <c r="F31" s="2">
        <v>109</v>
      </c>
      <c r="G31" s="2">
        <v>109</v>
      </c>
      <c r="H31" s="2">
        <v>109</v>
      </c>
      <c r="I31" s="2">
        <v>109</v>
      </c>
      <c r="J31" s="2">
        <v>109</v>
      </c>
      <c r="K31" s="2">
        <v>109</v>
      </c>
      <c r="L31" s="5">
        <v>75</v>
      </c>
      <c r="M31" s="5">
        <v>55</v>
      </c>
      <c r="N31" s="2">
        <v>109</v>
      </c>
      <c r="O31" s="2">
        <v>109</v>
      </c>
      <c r="P31" s="2">
        <v>109</v>
      </c>
      <c r="Q31" s="2">
        <v>109</v>
      </c>
    </row>
    <row r="32" spans="2:17">
      <c r="B32" s="36" t="s">
        <v>56</v>
      </c>
      <c r="C32" s="25"/>
      <c r="D32" s="3">
        <f t="shared" ref="D32:Q32" si="0">SUM(D18:D31)</f>
        <v>4173</v>
      </c>
      <c r="E32" s="3">
        <f t="shared" si="0"/>
        <v>4265</v>
      </c>
      <c r="F32" s="3">
        <f t="shared" si="0"/>
        <v>4654</v>
      </c>
      <c r="G32" s="3">
        <f t="shared" si="0"/>
        <v>4746</v>
      </c>
      <c r="H32" s="3">
        <f t="shared" si="0"/>
        <v>3816</v>
      </c>
      <c r="I32" s="3">
        <f t="shared" si="0"/>
        <v>3962</v>
      </c>
      <c r="J32" s="3">
        <f t="shared" si="0"/>
        <v>4062</v>
      </c>
      <c r="K32" s="3">
        <f t="shared" si="0"/>
        <v>4208</v>
      </c>
      <c r="L32" s="3">
        <f t="shared" si="0"/>
        <v>3877</v>
      </c>
      <c r="M32" s="3">
        <f t="shared" si="0"/>
        <v>4189</v>
      </c>
      <c r="N32" s="3">
        <f t="shared" si="0"/>
        <v>4806</v>
      </c>
      <c r="O32" s="3">
        <f t="shared" si="0"/>
        <v>4938</v>
      </c>
      <c r="P32" s="3">
        <f t="shared" si="0"/>
        <v>5301</v>
      </c>
      <c r="Q32" s="3">
        <f t="shared" si="0"/>
        <v>5434</v>
      </c>
    </row>
  </sheetData>
  <mergeCells count="92">
    <mergeCell ref="N4:Q4"/>
    <mergeCell ref="L15:M15"/>
    <mergeCell ref="H4:K4"/>
    <mergeCell ref="D16:E16"/>
    <mergeCell ref="P16:Q16"/>
    <mergeCell ref="H6:K6"/>
    <mergeCell ref="D8:E8"/>
    <mergeCell ref="H7:K7"/>
    <mergeCell ref="H8:I8"/>
    <mergeCell ref="J8:K8"/>
    <mergeCell ref="D14:E14"/>
    <mergeCell ref="L11:M11"/>
    <mergeCell ref="F14:G14"/>
    <mergeCell ref="F11:G11"/>
    <mergeCell ref="D3:G3"/>
    <mergeCell ref="J14:K14"/>
    <mergeCell ref="J13:K13"/>
    <mergeCell ref="D5:G5"/>
    <mergeCell ref="L13:M13"/>
    <mergeCell ref="F12:G12"/>
    <mergeCell ref="B3:C3"/>
    <mergeCell ref="L16:M16"/>
    <mergeCell ref="N16:O16"/>
    <mergeCell ref="P10:Q10"/>
    <mergeCell ref="B18:C18"/>
    <mergeCell ref="P9:Q9"/>
    <mergeCell ref="D11:E11"/>
    <mergeCell ref="P11:Q11"/>
    <mergeCell ref="H11:I11"/>
    <mergeCell ref="J11:K11"/>
    <mergeCell ref="B11:B13"/>
    <mergeCell ref="D9:E9"/>
    <mergeCell ref="N13:O13"/>
    <mergeCell ref="F9:G9"/>
    <mergeCell ref="H12:I12"/>
    <mergeCell ref="J12:K12"/>
    <mergeCell ref="B32:C32"/>
    <mergeCell ref="D4:G4"/>
    <mergeCell ref="D10:E10"/>
    <mergeCell ref="L7:M7"/>
    <mergeCell ref="F10:G10"/>
    <mergeCell ref="L6:M6"/>
    <mergeCell ref="D15:E15"/>
    <mergeCell ref="B4:B7"/>
    <mergeCell ref="B14:B16"/>
    <mergeCell ref="H14:I14"/>
    <mergeCell ref="H5:K5"/>
    <mergeCell ref="B19:B31"/>
    <mergeCell ref="B17:C17"/>
    <mergeCell ref="L8:M8"/>
    <mergeCell ref="F8:G8"/>
    <mergeCell ref="H16:I16"/>
    <mergeCell ref="B8:B10"/>
    <mergeCell ref="P13:Q13"/>
    <mergeCell ref="F13:G13"/>
    <mergeCell ref="H13:I13"/>
    <mergeCell ref="N5:Q5"/>
    <mergeCell ref="D7:G7"/>
    <mergeCell ref="N6:Q6"/>
    <mergeCell ref="N7:Q7"/>
    <mergeCell ref="N8:O8"/>
    <mergeCell ref="L10:M10"/>
    <mergeCell ref="N10:O10"/>
    <mergeCell ref="D12:E12"/>
    <mergeCell ref="L9:M9"/>
    <mergeCell ref="N9:O9"/>
    <mergeCell ref="P12:Q12"/>
    <mergeCell ref="P8:Q8"/>
    <mergeCell ref="L3:M3"/>
    <mergeCell ref="L12:M12"/>
    <mergeCell ref="N12:O12"/>
    <mergeCell ref="F15:G15"/>
    <mergeCell ref="D13:E13"/>
    <mergeCell ref="L5:M5"/>
    <mergeCell ref="L14:M14"/>
    <mergeCell ref="N14:O14"/>
    <mergeCell ref="L4:M4"/>
    <mergeCell ref="D6:G6"/>
    <mergeCell ref="N3:Q3"/>
    <mergeCell ref="N15:O15"/>
    <mergeCell ref="P15:Q15"/>
    <mergeCell ref="H15:I15"/>
    <mergeCell ref="P14:Q14"/>
    <mergeCell ref="H3:K3"/>
    <mergeCell ref="N11:O11"/>
    <mergeCell ref="F16:G16"/>
    <mergeCell ref="H10:I10"/>
    <mergeCell ref="J10:K10"/>
    <mergeCell ref="H9:I9"/>
    <mergeCell ref="J9:K9"/>
    <mergeCell ref="J16:K16"/>
    <mergeCell ref="J15:K15"/>
  </mergeCells>
  <phoneticPr fontId="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election activeCell="A4" sqref="A4"/>
    </sheetView>
  </sheetViews>
  <sheetFormatPr defaultRowHeight="13.5"/>
  <cols>
    <col min="1" max="1" width="18" style="11" customWidth="1"/>
    <col min="2" max="4" width="57.140625" style="11" customWidth="1"/>
  </cols>
  <sheetData>
    <row r="1" spans="1:4" ht="20.25" customHeight="1">
      <c r="A1" s="46" t="s">
        <v>57</v>
      </c>
      <c r="B1" s="47"/>
      <c r="C1" s="47"/>
      <c r="D1" s="47"/>
    </row>
    <row r="3" spans="1:4" ht="51.75" customHeight="1">
      <c r="A3" s="12" t="s">
        <v>58</v>
      </c>
      <c r="B3" s="12" t="s">
        <v>59</v>
      </c>
      <c r="C3" s="12" t="s">
        <v>60</v>
      </c>
      <c r="D3" s="12" t="s">
        <v>61</v>
      </c>
    </row>
    <row r="4" spans="1:4" ht="96.75" customHeight="1">
      <c r="A4" s="13" t="s">
        <v>62</v>
      </c>
      <c r="B4" s="17" t="s">
        <v>63</v>
      </c>
      <c r="C4" s="17" t="s">
        <v>64</v>
      </c>
      <c r="D4" s="17" t="s">
        <v>64</v>
      </c>
    </row>
    <row r="5" spans="1:4" ht="231.75" customHeight="1">
      <c r="A5" s="13" t="s">
        <v>65</v>
      </c>
      <c r="B5" s="14" t="s">
        <v>66</v>
      </c>
      <c r="C5" s="17" t="s">
        <v>67</v>
      </c>
      <c r="D5" s="14" t="s">
        <v>68</v>
      </c>
    </row>
    <row r="6" spans="1:4" ht="219" customHeight="1">
      <c r="A6" s="13" t="s">
        <v>69</v>
      </c>
      <c r="B6" s="17" t="s">
        <v>70</v>
      </c>
      <c r="C6" s="17" t="s">
        <v>71</v>
      </c>
      <c r="D6" s="17" t="s">
        <v>72</v>
      </c>
    </row>
    <row r="7" spans="1:4" ht="271.5" customHeight="1">
      <c r="A7" s="13" t="s">
        <v>73</v>
      </c>
      <c r="B7" s="17" t="s">
        <v>74</v>
      </c>
      <c r="C7" s="17" t="s">
        <v>75</v>
      </c>
      <c r="D7" s="17" t="s">
        <v>76</v>
      </c>
    </row>
    <row r="8" spans="1:4" ht="231" customHeight="1">
      <c r="A8" s="13" t="s">
        <v>77</v>
      </c>
      <c r="B8" s="17" t="s">
        <v>78</v>
      </c>
      <c r="C8" s="17" t="s">
        <v>79</v>
      </c>
      <c r="D8" s="17" t="s">
        <v>80</v>
      </c>
    </row>
    <row r="9" spans="1:4" ht="233.25" customHeight="1">
      <c r="A9" s="13" t="s">
        <v>81</v>
      </c>
      <c r="B9" s="17" t="s">
        <v>82</v>
      </c>
      <c r="C9" s="17" t="s">
        <v>83</v>
      </c>
      <c r="D9" s="17" t="s">
        <v>84</v>
      </c>
    </row>
    <row r="10" spans="1:4" ht="409.5" customHeight="1">
      <c r="A10" s="13" t="s">
        <v>85</v>
      </c>
      <c r="B10" s="17" t="s">
        <v>86</v>
      </c>
      <c r="C10" s="17" t="s">
        <v>87</v>
      </c>
      <c r="D10" s="17" t="s">
        <v>88</v>
      </c>
    </row>
    <row r="11" spans="1:4" ht="131.25" customHeight="1">
      <c r="A11" s="13" t="s">
        <v>89</v>
      </c>
      <c r="B11" s="17" t="s">
        <v>90</v>
      </c>
      <c r="C11" s="17" t="s">
        <v>91</v>
      </c>
      <c r="D11" s="17" t="s">
        <v>92</v>
      </c>
    </row>
    <row r="13" spans="1:4">
      <c r="A13" s="15" t="s">
        <v>93</v>
      </c>
    </row>
    <row r="14" spans="1:4">
      <c r="A14" s="16" t="s">
        <v>94</v>
      </c>
    </row>
    <row r="15" spans="1:4">
      <c r="A15" s="16" t="s">
        <v>95</v>
      </c>
    </row>
    <row r="16" spans="1:4">
      <c r="A16" s="16" t="s">
        <v>96</v>
      </c>
    </row>
    <row r="17" spans="1:1">
      <c r="A17" s="16" t="s">
        <v>97</v>
      </c>
    </row>
    <row r="18" spans="1:1">
      <c r="A18" s="16" t="s">
        <v>98</v>
      </c>
    </row>
  </sheetData>
  <mergeCells count="1">
    <mergeCell ref="A1:D1"/>
  </mergeCells>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topLeftCell="A7" workbookViewId="0">
      <selection activeCell="A18" sqref="A18"/>
    </sheetView>
  </sheetViews>
  <sheetFormatPr defaultRowHeight="13.5"/>
  <cols>
    <col min="1" max="1" width="16" style="11" customWidth="1"/>
    <col min="2" max="5" width="48" style="11" customWidth="1"/>
  </cols>
  <sheetData>
    <row r="1" spans="1:5" ht="20.25">
      <c r="A1" s="48" t="s">
        <v>99</v>
      </c>
      <c r="B1" s="47"/>
      <c r="C1" s="47"/>
      <c r="D1" s="47"/>
      <c r="E1" s="47"/>
    </row>
    <row r="3" spans="1:5" ht="16.5">
      <c r="A3" s="18" t="s">
        <v>100</v>
      </c>
      <c r="B3" s="18" t="s">
        <v>1</v>
      </c>
      <c r="C3" s="18" t="s">
        <v>2</v>
      </c>
      <c r="D3" s="18" t="s">
        <v>3</v>
      </c>
      <c r="E3" s="18" t="s">
        <v>4</v>
      </c>
    </row>
    <row r="4" spans="1:5" ht="36">
      <c r="A4" s="19" t="s">
        <v>41</v>
      </c>
      <c r="B4" s="20" t="s">
        <v>101</v>
      </c>
      <c r="C4" s="20" t="s">
        <v>102</v>
      </c>
      <c r="D4" s="21" t="s">
        <v>43</v>
      </c>
      <c r="E4" s="21" t="s">
        <v>43</v>
      </c>
    </row>
    <row r="5" spans="1:5" ht="132">
      <c r="A5" s="19" t="s">
        <v>42</v>
      </c>
      <c r="B5" s="20" t="s">
        <v>103</v>
      </c>
      <c r="C5" s="20" t="s">
        <v>104</v>
      </c>
      <c r="D5" s="20" t="s">
        <v>105</v>
      </c>
      <c r="E5" s="20" t="s">
        <v>106</v>
      </c>
    </row>
    <row r="6" spans="1:5" ht="96">
      <c r="A6" s="19" t="s">
        <v>44</v>
      </c>
      <c r="B6" s="20" t="s">
        <v>107</v>
      </c>
      <c r="C6" s="21" t="s">
        <v>43</v>
      </c>
      <c r="D6" s="20" t="s">
        <v>108</v>
      </c>
      <c r="E6" s="20" t="s">
        <v>109</v>
      </c>
    </row>
    <row r="7" spans="1:5" ht="156">
      <c r="A7" s="19" t="s">
        <v>45</v>
      </c>
      <c r="B7" s="20" t="s">
        <v>110</v>
      </c>
      <c r="C7" s="20" t="s">
        <v>111</v>
      </c>
      <c r="D7" s="20" t="s">
        <v>112</v>
      </c>
      <c r="E7" s="21" t="s">
        <v>43</v>
      </c>
    </row>
    <row r="8" spans="1:5" ht="132">
      <c r="A8" s="19" t="s">
        <v>47</v>
      </c>
      <c r="B8" s="20" t="s">
        <v>113</v>
      </c>
      <c r="C8" s="21" t="s">
        <v>43</v>
      </c>
      <c r="D8" s="20" t="s">
        <v>114</v>
      </c>
      <c r="E8" s="20" t="s">
        <v>115</v>
      </c>
    </row>
    <row r="9" spans="1:5" ht="204">
      <c r="A9" s="19" t="s">
        <v>48</v>
      </c>
      <c r="B9" s="20" t="s">
        <v>116</v>
      </c>
      <c r="C9" s="20" t="s">
        <v>117</v>
      </c>
      <c r="D9" s="20" t="s">
        <v>118</v>
      </c>
      <c r="E9" s="20" t="s">
        <v>119</v>
      </c>
    </row>
    <row r="10" spans="1:5" ht="48">
      <c r="A10" s="19" t="s">
        <v>49</v>
      </c>
      <c r="B10" s="20" t="s">
        <v>120</v>
      </c>
      <c r="C10" s="20" t="s">
        <v>121</v>
      </c>
      <c r="D10" s="20" t="s">
        <v>121</v>
      </c>
      <c r="E10" s="20" t="s">
        <v>122</v>
      </c>
    </row>
    <row r="11" spans="1:5" ht="72">
      <c r="A11" s="19" t="s">
        <v>50</v>
      </c>
      <c r="B11" s="20" t="s">
        <v>123</v>
      </c>
      <c r="C11" s="20" t="s">
        <v>124</v>
      </c>
      <c r="D11" s="21" t="s">
        <v>43</v>
      </c>
      <c r="E11" s="20" t="s">
        <v>125</v>
      </c>
    </row>
    <row r="12" spans="1:5" ht="24">
      <c r="A12" s="19" t="s">
        <v>51</v>
      </c>
      <c r="B12" s="21" t="s">
        <v>43</v>
      </c>
      <c r="C12" s="20" t="s">
        <v>126</v>
      </c>
      <c r="D12" s="20" t="s">
        <v>126</v>
      </c>
      <c r="E12" s="20" t="s">
        <v>127</v>
      </c>
    </row>
    <row r="13" spans="1:5" ht="36">
      <c r="A13" s="19" t="s">
        <v>52</v>
      </c>
      <c r="B13" s="20" t="s">
        <v>128</v>
      </c>
      <c r="C13" s="20" t="s">
        <v>129</v>
      </c>
      <c r="D13" s="20" t="s">
        <v>130</v>
      </c>
      <c r="E13" s="20" t="s">
        <v>131</v>
      </c>
    </row>
    <row r="14" spans="1:5" ht="60">
      <c r="A14" s="19" t="s">
        <v>53</v>
      </c>
      <c r="B14" s="20" t="s">
        <v>132</v>
      </c>
      <c r="C14" s="20" t="s">
        <v>133</v>
      </c>
      <c r="D14" s="20" t="s">
        <v>134</v>
      </c>
      <c r="E14" s="20" t="s">
        <v>135</v>
      </c>
    </row>
    <row r="15" spans="1:5" ht="36">
      <c r="A15" s="19" t="s">
        <v>54</v>
      </c>
      <c r="B15" s="21" t="s">
        <v>43</v>
      </c>
      <c r="C15" s="20" t="s">
        <v>136</v>
      </c>
      <c r="D15" s="21" t="s">
        <v>43</v>
      </c>
      <c r="E15" s="21" t="s">
        <v>43</v>
      </c>
    </row>
    <row r="16" spans="1:5" ht="36">
      <c r="A16" s="19" t="s">
        <v>137</v>
      </c>
      <c r="B16" s="20" t="s">
        <v>138</v>
      </c>
      <c r="C16" s="20" t="s">
        <v>139</v>
      </c>
      <c r="D16" s="20" t="s">
        <v>140</v>
      </c>
      <c r="E16" s="20" t="s">
        <v>141</v>
      </c>
    </row>
    <row r="18" spans="1:1">
      <c r="A18" s="22" t="s">
        <v>142</v>
      </c>
    </row>
    <row r="19" spans="1:1">
      <c r="A19" s="23" t="s">
        <v>143</v>
      </c>
    </row>
    <row r="20" spans="1:1">
      <c r="A20" s="23" t="s">
        <v>144</v>
      </c>
    </row>
    <row r="21" spans="1:1">
      <c r="A21" s="23" t="s">
        <v>145</v>
      </c>
    </row>
    <row r="22" spans="1:1">
      <c r="A22" s="23" t="s">
        <v>146</v>
      </c>
    </row>
  </sheetData>
  <mergeCells count="1">
    <mergeCell ref="A1:E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임재홍</dc:creator>
  <cp:lastModifiedBy>임재홍</cp:lastModifiedBy>
  <dcterms:created xsi:type="dcterms:W3CDTF">2026-08-21T00:13:52Z</dcterms:created>
  <dcterms:modified xsi:type="dcterms:W3CDTF">2026-08-21T07:45:56Z</dcterms:modified>
</cp:coreProperties>
</file>